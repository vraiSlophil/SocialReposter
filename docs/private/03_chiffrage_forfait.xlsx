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es" sheetId="1" state="visible" r:id="rId3"/>
    <sheet name="Kanban_Chiffrage" sheetId="2" state="visible" r:id="rId4"/>
    <sheet name="Devis" sheetId="3" state="visible" r:id="rId5"/>
    <sheet name="Scenari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<sst xmlns="http://schemas.openxmlformats.org/spreadsheetml/2006/main" count="407" uniqueCount="251">
  <si>
    <t xml:space="preserve">Parametres de chiffrage - Republication automatique TikTok</t>
  </si>
  <si>
    <t xml:space="preserve">Legende : les cellules en BLEU sur fond JAUNE sont les seules a modifier. Tout le reste est calcule.</t>
  </si>
  <si>
    <t xml:space="preserve">Parametre</t>
  </si>
  <si>
    <t xml:space="preserve">Valeur</t>
  </si>
  <si>
    <t xml:space="preserve">Source / hypothese</t>
  </si>
  <si>
    <t xml:space="preserve">TJM (€ / jour)</t>
  </si>
  <si>
    <t xml:space="preserve">Tarif journalier annonce oralement au client lors du premier appel</t>
  </si>
  <si>
    <t xml:space="preserve">Remise commerciale accordee (%)</t>
  </si>
  <si>
    <t xml:space="preserve">Aucune remise. En cas de pression sur le prix : retirer du perimetre plutot que baisser le tarif.</t>
  </si>
  <si>
    <t xml:space="preserve">Taux d'acompte a la commande (%)</t>
  </si>
  <si>
    <t xml:space="preserve">Usage courant en prestation de developpement : 30 a 50 %</t>
  </si>
  <si>
    <t xml:space="preserve">Abonnement exploitation - engagement 12 mois (€ / mois)</t>
  </si>
  <si>
    <t xml:space="preserve">Inclut serveur, passerelle de publication, supervision, sauvegardes, maintenance corrective 1 h/mois</t>
  </si>
  <si>
    <t xml:space="preserve">Abonnement exploitation - sans engagement (€ / mois)</t>
  </si>
  <si>
    <t xml:space="preserve">Majoration pour absence d'engagement de duree</t>
  </si>
  <si>
    <t xml:space="preserve">Taux horaire hors forfait (€ / h)</t>
  </si>
  <si>
    <t xml:space="preserve">Interventions hors perimetre de maintenance</t>
  </si>
  <si>
    <t xml:space="preserve">Videos publiees par jour (communique par le client)</t>
  </si>
  <si>
    <t xml:space="preserve">2 a 3 videos par jour. Determine la consommation de quota YouTube et le palier de la passerelle</t>
  </si>
  <si>
    <t xml:space="preserve">Nombre de destinations</t>
  </si>
  <si>
    <t xml:space="preserve">YouTube et Instagram. Facebook hors perimetre V1</t>
  </si>
  <si>
    <t xml:space="preserve">Cout mensuel reel serveur + passerelle (€ / mois)</t>
  </si>
  <si>
    <t xml:space="preserve">Hypothese : VPS 15 € + passerelle de publication 60 € pour 180 publications/mois. PALIER TARIFAIRE A VERIFIER avant engagement</t>
  </si>
  <si>
    <t xml:space="preserve">Controle des plafonds de plateformes</t>
  </si>
  <si>
    <t xml:space="preserve">Consommation quota YouTube par jour (1 600 unites par envoi)</t>
  </si>
  <si>
    <t xml:space="preserve">Plafond par defaut : 10 000 unites/jour, soit 6 envois. Au-dela de 5 videos/jour, demande d'extension necessaire.</t>
  </si>
  <si>
    <t xml:space="preserve">Marge restante sur le quota YouTube</t>
  </si>
  <si>
    <t xml:space="preserve">Publications Instagram par jour (plafond 25 / 24 h)</t>
  </si>
  <si>
    <t xml:space="preserve">Republications mensuelles toutes destinations</t>
  </si>
  <si>
    <t xml:space="preserve">Dimensionne le palier tarifaire de la passerelle de publication.</t>
  </si>
  <si>
    <t xml:space="preserve">Rentabilite de l'abonnement d'exploitation</t>
  </si>
  <si>
    <t xml:space="preserve">Marge brute mensuelle (engagement 12 mois)</t>
  </si>
  <si>
    <t xml:space="preserve">Marge brute annuelle (engagement 12 mois)</t>
  </si>
  <si>
    <t xml:space="preserve">Temps de maintenance couvert par mois (h)</t>
  </si>
  <si>
    <t xml:space="preserve">Marge nette mensuelle si le temps de maintenance inclus est consomme</t>
  </si>
  <si>
    <t xml:space="preserve">Si negatif : l'abonnement est sous-tarife, ou l'inclusion de 2 h/mois est trop genereuse.</t>
  </si>
  <si>
    <t xml:space="preserve">REGIME FISCAL</t>
  </si>
  <si>
    <t xml:space="preserve">Non assujetti a la TVA - franchise en base</t>
  </si>
  <si>
    <t xml:space="preserve">Mention obligatoire sur le devis et les factures : TVA non applicable, article 293 B du CGI. Ne jamais ecrire HT.</t>
  </si>
  <si>
    <t xml:space="preserve">Kanban de production et chiffrage detaille</t>
  </si>
  <si>
    <t xml:space="preserve">Colonnes Kanban : A faire &gt; En cours &gt; A valider (prestataire) &gt; A valider (client) &gt; Termine. Toutes les cartes demarrent en 'A faire'.</t>
  </si>
  <si>
    <t xml:space="preserve">Perimetre = Socle : figure au devis. Perimetre = Option : chiffre pour usage interne, NE FIGURE PAS au devis, a presenter en reunion de suivi.</t>
  </si>
  <si>
    <t xml:space="preserve">Lot</t>
  </si>
  <si>
    <t xml:space="preserve">Intitule du lot</t>
  </si>
  <si>
    <t xml:space="preserve">Carte</t>
  </si>
  <si>
    <t xml:space="preserve">Description de la tache</t>
  </si>
  <si>
    <t xml:space="preserve">Perimetre</t>
  </si>
  <si>
    <t xml:space="preserve">Charge (j)</t>
  </si>
  <si>
    <t xml:space="preserve">Montant (€)</t>
  </si>
  <si>
    <t xml:space="preserve">Statut Kanban</t>
  </si>
  <si>
    <t xml:space="preserve">LOT 0</t>
  </si>
  <si>
    <t xml:space="preserve">Etude de faisabilite et cadrage technique</t>
  </si>
  <si>
    <t xml:space="preserve">0.1</t>
  </si>
  <si>
    <t xml:space="preserve">Prototype de detection des nouvelles publications TikTok (API officielle + repli profil public)</t>
  </si>
  <si>
    <t xml:space="preserve">Socle</t>
  </si>
  <si>
    <t xml:space="preserve">A faire</t>
  </si>
  <si>
    <t xml:space="preserve">0.2</t>
  </si>
  <si>
    <t xml:space="preserve">Prototype de recuperation automatique du fichier video - 2 methodes comparees sur 10 videos reelles</t>
  </si>
  <si>
    <t xml:space="preserve">0.3</t>
  </si>
  <si>
    <t xml:space="preserve">Test de publication reelle YouTube et Instagram sur comptes de test</t>
  </si>
  <si>
    <t xml:space="preserve">0.4</t>
  </si>
  <si>
    <t xml:space="preserve">Note de faisabilite, arbitrage d'architecture, gel du perimetre V1</t>
  </si>
  <si>
    <t xml:space="preserve">LOT 1</t>
  </si>
  <si>
    <t xml:space="preserve">Fondations techniques</t>
  </si>
  <si>
    <t xml:space="preserve">1.1</t>
  </si>
  <si>
    <t xml:space="preserve">Specification technique courte et modele de donnees</t>
  </si>
  <si>
    <t xml:space="preserve">1.2</t>
  </si>
  <si>
    <t xml:space="preserve">Initialisation du projet, conteneurisation, environnements dev et prod</t>
  </si>
  <si>
    <t xml:space="preserve">1.3</t>
  </si>
  <si>
    <t xml:space="preserve">Base de donnees et migrations (videos, publications, tentatives, comptes)</t>
  </si>
  <si>
    <t xml:space="preserve">1.4</t>
  </si>
  <si>
    <t xml:space="preserve">Gestion securisee des secrets et jetons OAuth (chiffrement, hors code source)</t>
  </si>
  <si>
    <t xml:space="preserve">1.5</t>
  </si>
  <si>
    <t xml:space="preserve">Journalisation structuree avec identifiant de correlation par traitement</t>
  </si>
  <si>
    <t xml:space="preserve">LOT 2</t>
  </si>
  <si>
    <t xml:space="preserve">Detection des publications TikTok</t>
  </si>
  <si>
    <t xml:space="preserve">2.1</t>
  </si>
  <si>
    <t xml:space="preserve">Connecteur TikTok : authentification, autorisation du compte, lecture des publications</t>
  </si>
  <si>
    <t xml:space="preserve">2.2</t>
  </si>
  <si>
    <t xml:space="preserve">Planificateur de surveillance : intervalle parametrable, fenetre de rattrapage, reprise</t>
  </si>
  <si>
    <t xml:space="preserve">2.3</t>
  </si>
  <si>
    <t xml:space="preserve">Normalisation des metadonnees (id, URL, description, hashtags, duree, date, vignette)</t>
  </si>
  <si>
    <t xml:space="preserve">2.4</t>
  </si>
  <si>
    <t xml:space="preserve">Idempotence et anti-doublon : cle unique, verrou de concurrence, resistance au redemarrage</t>
  </si>
  <si>
    <t xml:space="preserve">2.5</t>
  </si>
  <si>
    <t xml:space="preserve">Filtrage des publications non video (diaporamas photo TikTok) sans faire echouer la chaine</t>
  </si>
  <si>
    <t xml:space="preserve">2.6</t>
  </si>
  <si>
    <t xml:space="preserve">Regle d'exclusion volontaire : marqueur dans la description TikTok empechant la republication</t>
  </si>
  <si>
    <t xml:space="preserve">LOT 3</t>
  </si>
  <si>
    <t xml:space="preserve">Recuperation automatique du media (lot a risque)</t>
  </si>
  <si>
    <t xml:space="preserve">3.1</t>
  </si>
  <si>
    <t xml:space="preserve">Module de recuperation media : interface interchangeable + 2 implementations</t>
  </si>
  <si>
    <t xml:space="preserve">3.2</t>
  </si>
  <si>
    <t xml:space="preserve">Basculement automatique entre methodes, detection des cas d'echec</t>
  </si>
  <si>
    <t xml:space="preserve">3.3</t>
  </si>
  <si>
    <t xml:space="preserve">Controle technique du fichier : duree, codec, ratio, poids, detection de filigrane</t>
  </si>
  <si>
    <t xml:space="preserve">3.4</t>
  </si>
  <si>
    <t xml:space="preserve">Stockage temporaire et URL publique signee a duree limitee (exigence API Meta)</t>
  </si>
  <si>
    <t xml:space="preserve">3.5</t>
  </si>
  <si>
    <t xml:space="preserve">Purge automatique des fichiers apres publication</t>
  </si>
  <si>
    <t xml:space="preserve">LOT 4</t>
  </si>
  <si>
    <t xml:space="preserve">Republication multi-plateformes</t>
  </si>
  <si>
    <t xml:space="preserve">4.1</t>
  </si>
  <si>
    <t xml:space="preserve">Couche d'abstraction de publication : destinations enfichables et remplacables</t>
  </si>
  <si>
    <t xml:space="preserve">4.2</t>
  </si>
  <si>
    <t xml:space="preserve">Adaptateur de la passerelle de publication : envoi, suivi de statut, codes d'erreur</t>
  </si>
  <si>
    <t xml:space="preserve">4.3</t>
  </si>
  <si>
    <t xml:space="preserve">Destination YouTube : titre derive, description, tags, visibilite, format Shorts</t>
  </si>
  <si>
    <t xml:space="preserve">4.4</t>
  </si>
  <si>
    <t xml:space="preserve">Destination Instagram Reels : legende, vignette, partage au fil</t>
  </si>
  <si>
    <t xml:space="preserve">4.5</t>
  </si>
  <si>
    <t xml:space="preserve">Destination Facebook (Page, Reel ou video)</t>
  </si>
  <si>
    <t xml:space="preserve">Option</t>
  </si>
  <si>
    <t xml:space="preserve">4.6</t>
  </si>
  <si>
    <t xml:space="preserve">Adaptation automatique des descriptions par plateforme</t>
  </si>
  <si>
    <t xml:space="preserve">LOT 5</t>
  </si>
  <si>
    <t xml:space="preserve">Fiabilite, reprise sur erreur et alertes</t>
  </si>
  <si>
    <t xml:space="preserve">5.1</t>
  </si>
  <si>
    <t xml:space="preserve">File de traitements et machine a etats</t>
  </si>
  <si>
    <t xml:space="preserve">5.2</t>
  </si>
  <si>
    <t xml:space="preserve">Nouvelles tentatives avec temporisation croissante, erreur temporaire vs definitive</t>
  </si>
  <si>
    <t xml:space="preserve">5.3</t>
  </si>
  <si>
    <t xml:space="preserve">Alertes email : echec definitif, jeton expire, quota atteint, format refuse</t>
  </si>
  <si>
    <t xml:space="preserve">LOT 6</t>
  </si>
  <si>
    <t xml:space="preserve">Outils d'exploitation (sans interface web)</t>
  </si>
  <si>
    <t xml:space="preserve">6.1</t>
  </si>
  <si>
    <t xml:space="preserve">Commandes en ligne de commande cote serveur : relancer, ignorer, publier une URL TikTok, afficher les derniers traitements</t>
  </si>
  <si>
    <t xml:space="preserve">6.2</t>
  </si>
  <si>
    <t xml:space="preserve">Interface web d'administration : acces protege, tableau de statuts, relance en un clic</t>
  </si>
  <si>
    <t xml:space="preserve">6.3</t>
  </si>
  <si>
    <t xml:space="preserve">Historique, filtres, recherche, indicateurs de publication</t>
  </si>
  <si>
    <t xml:space="preserve">LOT 7</t>
  </si>
  <si>
    <t xml:space="preserve">Hebergement et mise en production</t>
  </si>
  <si>
    <t xml:space="preserve">7.1</t>
  </si>
  <si>
    <t xml:space="preserve">Provisionnement du serveur et durcissement (acces, pare-feu, MAJ securite)</t>
  </si>
  <si>
    <t xml:space="preserve">7.2</t>
  </si>
  <si>
    <t xml:space="preserve">Deploiement, nom de domaine technique, certificat TLS, reverse proxy</t>
  </si>
  <si>
    <t xml:space="preserve">7.3</t>
  </si>
  <si>
    <t xml:space="preserve">Sauvegardes quotidiennes automatiques et test de restauration effectif</t>
  </si>
  <si>
    <t xml:space="preserve">LOT 8</t>
  </si>
  <si>
    <t xml:space="preserve">Recette, documentation et transfert</t>
  </si>
  <si>
    <t xml:space="preserve">8.1</t>
  </si>
  <si>
    <t xml:space="preserve">Tests automatises : idempotence, reprises, correspondances de metadonnees</t>
  </si>
  <si>
    <t xml:space="preserve">8.2</t>
  </si>
  <si>
    <t xml:space="preserve">Recette de bout en bout sur videos reelles et proces-verbal de recette</t>
  </si>
  <si>
    <t xml:space="preserve">8.3</t>
  </si>
  <si>
    <t xml:space="preserve">Documentation d'exploitation et guide client d'une page</t>
  </si>
  <si>
    <t xml:space="preserve">8.4</t>
  </si>
  <si>
    <t xml:space="preserve">Session de prise en main (1 h) et demarrage de la garantie</t>
  </si>
  <si>
    <t xml:space="preserve">LOT 9</t>
  </si>
  <si>
    <t xml:space="preserve">Reserve pour aleas techniques</t>
  </si>
  <si>
    <t xml:space="preserve">9.1</t>
  </si>
  <si>
    <t xml:space="preserve">Provision pour rupture de dependance externe pendant le developpement (marge de securite de 17,8 % sur la charge productive)</t>
  </si>
  <si>
    <t xml:space="preserve">LOT 10</t>
  </si>
  <si>
    <t xml:space="preserve">Connecteurs natifs (alternative a la passerelle)</t>
  </si>
  <si>
    <t xml:space="preserve">10.1</t>
  </si>
  <si>
    <t xml:space="preserve">Application developpeur Meta : declaration, verification entreprise, App Review Instagram</t>
  </si>
  <si>
    <t xml:space="preserve">10.2</t>
  </si>
  <si>
    <t xml:space="preserve">Connecteur YouTube natif + dossier d'audit de conformite YouTube (sinon publication en prive uniquement)</t>
  </si>
  <si>
    <t xml:space="preserve">10.3</t>
  </si>
  <si>
    <t xml:space="preserve">Connecteur Instagram / Facebook natif (conteneur media, suivi de statut, quotas)</t>
  </si>
  <si>
    <t xml:space="preserve">10.4</t>
  </si>
  <si>
    <t xml:space="preserve">Renouvellement automatique des jetons longue duree et surveillance des expirations</t>
  </si>
  <si>
    <t xml:space="preserve">TOTAL PERIMETRE SOCLE</t>
  </si>
  <si>
    <t xml:space="preserve">TOTAL OPTIONS</t>
  </si>
  <si>
    <t xml:space="preserve">Lignes destinees au devis client</t>
  </si>
  <si>
    <t xml:space="preserve">Les montants sont calcules depuis l'onglet Kanban_Chiffrage. Ne rien saisir ici.</t>
  </si>
  <si>
    <t xml:space="preserve">BLOC A - PRESTATION INITIALE (forfait)</t>
  </si>
  <si>
    <t xml:space="preserve">Ref.</t>
  </si>
  <si>
    <t xml:space="preserve">Libelle de la ligne de devis</t>
  </si>
  <si>
    <t xml:space="preserve">Detail</t>
  </si>
  <si>
    <t xml:space="preserve">Qte (j)</t>
  </si>
  <si>
    <t xml:space="preserve">P.U. (€/j)</t>
  </si>
  <si>
    <t xml:space="preserve">Total (€)</t>
  </si>
  <si>
    <t xml:space="preserve">A1</t>
  </si>
  <si>
    <t xml:space="preserve">Etude de faisabilite et cadrage</t>
  </si>
  <si>
    <t xml:space="preserve">Validation, sur vos propres videos, de la detection et de la recuperation automatique depuis TikTok. Note de conclusion ecrite. Phase assortie d'une clause de sortie (bloc C).</t>
  </si>
  <si>
    <t xml:space="preserve">A2</t>
  </si>
  <si>
    <t xml:space="preserve">Socle technique et detection des publications TikTok</t>
  </si>
  <si>
    <t xml:space="preserve">Surveillance du compte, detection des nouvelles videos, garantie qu'une video n'est traitee qu'une seule fois, exclusion des diaporamas photo, regle d'exclusion volontaire par marqueur.</t>
  </si>
  <si>
    <t xml:space="preserve">A3</t>
  </si>
  <si>
    <t xml:space="preserve">Recuperation automatique des videos</t>
  </si>
  <si>
    <t xml:space="preserve">Deux methodes de recuperation avec basculement automatique, controle de la qualite du fichier, stockage temporaire et suppression apres publication.</t>
  </si>
  <si>
    <t xml:space="preserve">A4</t>
  </si>
  <si>
    <t xml:space="preserve">Republication automatique sur YouTube et Instagram</t>
  </si>
  <si>
    <t xml:space="preserve">Reprise du titre, de la description et des hashtags, adaptation aux contraintes de chaque plateforme, envoi et verification.</t>
  </si>
  <si>
    <t xml:space="preserve">A5</t>
  </si>
  <si>
    <t xml:space="preserve">Fiabilite, reprises automatiques et alertes</t>
  </si>
  <si>
    <t xml:space="preserve">Nouvelles tentatives automatiques en cas d'incident, alerte par email si une publication echoue definitivement, outils de relance manuelle.</t>
  </si>
  <si>
    <t xml:space="preserve">A6</t>
  </si>
  <si>
    <t xml:space="preserve">Mise en service, tests et prise en main</t>
  </si>
  <si>
    <t xml:space="preserve">Installation sur serveur, sauvegardes quotidiennes, tests sur videos reelles, proces-verbal de recette, session de prise en main.</t>
  </si>
  <si>
    <t xml:space="preserve">A7</t>
  </si>
  <si>
    <t xml:space="preserve">Provision pour evolutions des plateformes</t>
  </si>
  <si>
    <t xml:space="preserve">Adaptation aux changements de TikTok, YouTube et Instagram pendant la phase de realisation.</t>
  </si>
  <si>
    <t xml:space="preserve">Sous-total prestation initiale</t>
  </si>
  <si>
    <t xml:space="preserve">A11</t>
  </si>
  <si>
    <t xml:space="preserve">Remise commerciale accordee (le cas echeant)</t>
  </si>
  <si>
    <t xml:space="preserve">Levier commercial. Valeur par defaut : 0 %. En cas de pression sur le prix, retirer du perimetre plutot que baisser le tarif.</t>
  </si>
  <si>
    <t xml:space="preserve">TOTAL PRESTATION INITIALE</t>
  </si>
  <si>
    <t xml:space="preserve">BLOC B - ABONNEMENT D'EXPLOITATION (obligatoire)</t>
  </si>
  <si>
    <t xml:space="preserve">Libelle</t>
  </si>
  <si>
    <t xml:space="preserve">Periodicite</t>
  </si>
  <si>
    <t xml:space="preserve">B1</t>
  </si>
  <si>
    <t xml:space="preserve">Formule Exploitation &amp; Maintenance - engagement 12 mois</t>
  </si>
  <si>
    <t xml:space="preserve">Hebergement dedie, supervision 7 j/7, abonnement a la passerelle de publication dimensionne pour 180 republications/mois, sauvegardes quotidiennes, surveillance et renouvellement des jetons, mises a jour de securite, adaptation aux evolutions des plateformes, maintenance corrective 1 h/mois, alertes</t>
  </si>
  <si>
    <t xml:space="preserve">mensuel</t>
  </si>
  <si>
    <t xml:space="preserve">B2</t>
  </si>
  <si>
    <t xml:space="preserve">Variante sans engagement de duree</t>
  </si>
  <si>
    <t xml:space="preserve">Meme perimetre, resiliable a tout moment avec preavis d'un mois</t>
  </si>
  <si>
    <t xml:space="preserve">B3</t>
  </si>
  <si>
    <t xml:space="preserve">Variante avec paiement annuel d'avance (2 mois offerts)</t>
  </si>
  <si>
    <t xml:space="preserve">Engagement 12 mois regle en une fois</t>
  </si>
  <si>
    <t xml:space="preserve">annuel</t>
  </si>
  <si>
    <t xml:space="preserve">B4</t>
  </si>
  <si>
    <t xml:space="preserve">Intervention hors forfait de maintenance</t>
  </si>
  <si>
    <t xml:space="preserve">Evolution, incident imputable a un tiers, demande nouvelle</t>
  </si>
  <si>
    <t xml:space="preserve">a l'heure</t>
  </si>
  <si>
    <t xml:space="preserve">BLOC C - CONDITIONS FINANCIERES</t>
  </si>
  <si>
    <t xml:space="preserve">Acompte a la commande</t>
  </si>
  <si>
    <t xml:space="preserve">Solde a la signature du proces-verbal de recette</t>
  </si>
  <si>
    <t xml:space="preserve">Premiere annee : prestation initiale + 12 mois d'exploitation</t>
  </si>
  <si>
    <t xml:space="preserve">Validite du devis</t>
  </si>
  <si>
    <t xml:space="preserve">30 jours</t>
  </si>
  <si>
    <t xml:space="preserve">Delai indicatif de realisation</t>
  </si>
  <si>
    <t xml:space="preserve">5 a 7 semaines a compter de la reception de l'acompte et des acces</t>
  </si>
  <si>
    <t xml:space="preserve">Garantie corrective</t>
  </si>
  <si>
    <t xml:space="preserve">60 jours apres recette, sur le perimetre recette</t>
  </si>
  <si>
    <t xml:space="preserve">Clause de sortie apres la phase 1</t>
  </si>
  <si>
    <t xml:space="preserve">Si la note de faisabilite conclut a l'impossibilite de recuperer automatiquement le fichier video depuis TikTok de maniere fiable, le client peut mettre fin au contrat sans indemnite. Seule la phase 1 (600 €) reste due, le solde de l'acompte est rembourse sous 15 jours.</t>
  </si>
  <si>
    <t xml:space="preserve">MENTION FISCALE OBLIGATOIRE</t>
  </si>
  <si>
    <t xml:space="preserve">Prestataire non assujetti a la TVA. Montants nets de taxe. Mention obligatoire : « TVA non applicable, article 293 B du CGI ». Ne jamais ecrire « HT ».</t>
  </si>
  <si>
    <t xml:space="preserve">Scenarios de prix et zone d'atterrissage</t>
  </si>
  <si>
    <t xml:space="preserve">Scenario</t>
  </si>
  <si>
    <t xml:space="preserve">Prix (€)</t>
  </si>
  <si>
    <t xml:space="preserve">Commentaire</t>
  </si>
  <si>
    <t xml:space="preserve">Provision pour aleas ramenee a 1,5 j</t>
  </si>
  <si>
    <t xml:space="preserve">Marge de securite de 14 %, jugee insuffisante au vu de la dependance non officielle a TikTok</t>
  </si>
  <si>
    <t xml:space="preserve">Avec interface web d'administration</t>
  </si>
  <si>
    <t xml:space="preserve">Ecarte : complexite et marge degradee pour un besoin non exprime</t>
  </si>
  <si>
    <t xml:space="preserve">Socle V1 retenu (sans interface web)</t>
  </si>
  <si>
    <t xml:space="preserve">RECOMMANDE - sans interface web ni authentification a developper</t>
  </si>
  <si>
    <t xml:space="preserve">Cible initialement envisagee (3 500 €)</t>
  </si>
  <si>
    <t xml:space="preserve">NON TENABLE au perimetre decrit : il faudrait supprimer une plateforme de destination ET la fiabilisation</t>
  </si>
  <si>
    <t xml:space="preserve">Rentabilite du projet sur 12 mois</t>
  </si>
  <si>
    <t xml:space="preserve">Chiffre d'affaires annee 1 (socle remise + 12 mois d'exploitation)</t>
  </si>
  <si>
    <t xml:space="preserve">Couts externes annee 1 (serveur + passerelle)</t>
  </si>
  <si>
    <t xml:space="preserve">Marge brute annee 1</t>
  </si>
  <si>
    <t xml:space="preserve">Nombre de jours vendus (socle)</t>
  </si>
  <si>
    <t xml:space="preserve">TJM effectif realise sur l'annee 1</t>
  </si>
  <si>
    <t xml:space="preserve">A comparer au TJM affiche. S'il est nettement inferieur, la remise ou l'abonnement sont mal calibres.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</si>
</sst>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"/>
    <numFmt numFmtId="166" formatCode="0.0%"/>
    <numFmt numFmtId="167" formatCode="0"/>
    <numFmt numFmtId="168" formatCode="#,##0"/>
    <numFmt numFmtId="169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FFFFFF"/>
      </patternFill>
    </fill>
    <fill>
      <patternFill patternType="solid">
        <fgColor rgb="FFD9D9D9"/>
        <bgColor rgb="FFC6E0B4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</row>
    <row r="6" customFormat="false" ht="15" hidden="false" customHeight="false" outlineLevel="0" collapsed="false">
      <c r="A6" s="4" t="s">
        <v>5</v>
      </c>
      <c r="B6" s="5" t="n">
        <v>400</v>
      </c>
      <c r="C6" s="2" t="s">
        <v>6</v>
      </c>
    </row>
    <row r="7" customFormat="false" ht="15" hidden="false" customHeight="false" outlineLevel="0" collapsed="false">
      <c r="A7" s="4" t="s">
        <v>7</v>
      </c>
      <c r="B7" s="6" t="n">
        <v>0</v>
      </c>
      <c r="C7" s="2" t="s">
        <v>8</v>
      </c>
    </row>
    <row r="8" customFormat="false" ht="15" hidden="false" customHeight="false" outlineLevel="0" collapsed="false">
      <c r="A8" s="4" t="s">
        <v>9</v>
      </c>
      <c r="B8" s="6" t="n">
        <v>0.4</v>
      </c>
      <c r="C8" s="2" t="s">
        <v>10</v>
      </c>
    </row>
    <row r="9" customFormat="false" ht="15" hidden="false" customHeight="false" outlineLevel="0" collapsed="false">
      <c r="A9" s="4" t="s">
        <v>11</v>
      </c>
      <c r="B9" s="5" t="n">
        <v>189</v>
      </c>
      <c r="C9" s="2" t="s">
        <v>12</v>
      </c>
    </row>
    <row r="10" customFormat="false" ht="15" hidden="false" customHeight="false" outlineLevel="0" collapsed="false">
      <c r="A10" s="4" t="s">
        <v>13</v>
      </c>
      <c r="B10" s="5" t="n">
        <v>219</v>
      </c>
      <c r="C10" s="2" t="s">
        <v>14</v>
      </c>
    </row>
    <row r="11" customFormat="false" ht="15" hidden="false" customHeight="false" outlineLevel="0" collapsed="false">
      <c r="A11" s="4" t="s">
        <v>15</v>
      </c>
      <c r="B11" s="5" t="n">
        <v>60</v>
      </c>
      <c r="C11" s="2" t="s">
        <v>16</v>
      </c>
    </row>
    <row r="12" customFormat="false" ht="15" hidden="false" customHeight="false" outlineLevel="0" collapsed="false">
      <c r="A12" s="4" t="s">
        <v>17</v>
      </c>
      <c r="B12" s="7" t="n">
        <v>3</v>
      </c>
      <c r="C12" s="2" t="s">
        <v>18</v>
      </c>
    </row>
    <row r="13" customFormat="false" ht="15" hidden="false" customHeight="false" outlineLevel="0" collapsed="false">
      <c r="A13" s="4" t="s">
        <v>19</v>
      </c>
      <c r="B13" s="7" t="n">
        <v>2</v>
      </c>
      <c r="C13" s="2" t="s">
        <v>20</v>
      </c>
    </row>
    <row r="14" customFormat="false" ht="15" hidden="false" customHeight="false" outlineLevel="0" collapsed="false">
      <c r="A14" s="4" t="s">
        <v>21</v>
      </c>
      <c r="B14" s="5" t="n">
        <v>75</v>
      </c>
      <c r="C14" s="2" t="s">
        <v>22</v>
      </c>
    </row>
    <row r="15" customFormat="false" ht="15" hidden="false" customHeight="false" outlineLevel="0" collapsed="false">
      <c r="A15" s="8" t="s">
        <v>23</v>
      </c>
    </row>
    <row r="16" customFormat="false" ht="15" hidden="false" customHeight="false" outlineLevel="0" collapsed="false">
      <c r="A16" s="0" t="s">
        <v>24</v>
      </c>
      <c r="B16" s="9" t="n">
        <f aca="false">Parametres!$B$12*1600</f>
        <v>4800</v>
      </c>
      <c r="C16" s="2" t="s">
        <v>25</v>
      </c>
    </row>
    <row r="17" customFormat="false" ht="15" hidden="false" customHeight="false" outlineLevel="0" collapsed="false">
      <c r="A17" s="0" t="s">
        <v>26</v>
      </c>
      <c r="B17" s="9" t="n">
        <f aca="false">10000-B16</f>
        <v>5200</v>
      </c>
      <c r="C17" s="2"/>
    </row>
    <row r="18" customFormat="false" ht="15" hidden="false" customHeight="false" outlineLevel="0" collapsed="false">
      <c r="A18" s="0" t="s">
        <v>27</v>
      </c>
      <c r="B18" s="9" t="n">
        <f aca="false">Parametres!$B$12</f>
        <v>3</v>
      </c>
      <c r="C18" s="2"/>
    </row>
    <row r="19" customFormat="false" ht="15" hidden="false" customHeight="false" outlineLevel="0" collapsed="false">
      <c r="A19" s="0" t="s">
        <v>28</v>
      </c>
      <c r="B19" s="9" t="n">
        <f aca="false">Parametres!$B$12*30*Parametres!$B$13</f>
        <v>180</v>
      </c>
      <c r="C19" s="2" t="s">
        <v>29</v>
      </c>
    </row>
    <row r="22" customFormat="false" ht="15" hidden="false" customHeight="false" outlineLevel="0" collapsed="false">
      <c r="A22" s="8" t="s">
        <v>30</v>
      </c>
    </row>
    <row r="23" customFormat="false" ht="15" hidden="false" customHeight="false" outlineLevel="0" collapsed="false">
      <c r="A23" s="0" t="s">
        <v>31</v>
      </c>
      <c r="B23" s="10" t="n">
        <f aca="false">Parametres!$B$9-Parametres!$B$14</f>
        <v>114</v>
      </c>
    </row>
    <row r="24" customFormat="false" ht="15" hidden="false" customHeight="false" outlineLevel="0" collapsed="false">
      <c r="A24" s="0" t="s">
        <v>32</v>
      </c>
      <c r="B24" s="10" t="n">
        <f aca="false">B23*12</f>
        <v>1368</v>
      </c>
    </row>
    <row r="25" customFormat="false" ht="15" hidden="false" customHeight="false" outlineLevel="0" collapsed="false">
      <c r="A25" s="0" t="s">
        <v>33</v>
      </c>
      <c r="B25" s="11" t="n">
        <v>1</v>
      </c>
    </row>
    <row r="26" customFormat="false" ht="15" hidden="false" customHeight="false" outlineLevel="0" collapsed="false">
      <c r="A26" s="0" t="s">
        <v>34</v>
      </c>
      <c r="B26" s="10" t="n">
        <f aca="false">B23-B25*Parametres!$B$11</f>
        <v>54</v>
      </c>
      <c r="C26" s="2" t="s">
        <v>35</v>
      </c>
    </row>
    <row r="28" customFormat="false" ht="15" hidden="false" customHeight="false" outlineLevel="0" collapsed="false">
      <c r="A28" s="8" t="s">
        <v>36</v>
      </c>
      <c r="B28" s="12" t="s">
        <v>37</v>
      </c>
      <c r="C28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4" min="4" style="0" width="78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22"/>
  </cols>
  <sheetData>
    <row r="1" customFormat="false" ht="16.1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3" customFormat="false" ht="15" hidden="false" customHeight="false" outlineLevel="0" collapsed="false">
      <c r="A3" s="2" t="s">
        <v>41</v>
      </c>
    </row>
    <row r="4" customFormat="false" ht="15" hidden="false" customHeight="false" outlineLevel="0" collapsed="false">
      <c r="A4" s="13" t="s">
        <v>42</v>
      </c>
      <c r="B4" s="13" t="s">
        <v>43</v>
      </c>
      <c r="C4" s="13" t="s">
        <v>44</v>
      </c>
      <c r="D4" s="13" t="s">
        <v>45</v>
      </c>
      <c r="E4" s="13" t="s">
        <v>46</v>
      </c>
      <c r="F4" s="13" t="s">
        <v>47</v>
      </c>
      <c r="G4" s="13" t="s">
        <v>48</v>
      </c>
      <c r="H4" s="13" t="s">
        <v>49</v>
      </c>
    </row>
    <row r="5" customFormat="false" ht="15" hidden="false" customHeight="false" outlineLevel="0" collapsed="false">
      <c r="A5" s="14" t="s">
        <v>50</v>
      </c>
      <c r="B5" s="15" t="s">
        <v>51</v>
      </c>
      <c r="C5" s="15" t="s">
        <v>52</v>
      </c>
      <c r="D5" s="16" t="s">
        <v>53</v>
      </c>
      <c r="E5" s="15" t="s">
        <v>54</v>
      </c>
      <c r="F5" s="17" t="n">
        <v>0.5</v>
      </c>
      <c r="G5" s="18" t="n">
        <f aca="false">F5*Parametres!$B$6</f>
        <v>200</v>
      </c>
      <c r="H5" s="15" t="s">
        <v>55</v>
      </c>
    </row>
    <row r="6" customFormat="false" ht="23.85" hidden="false" customHeight="false" outlineLevel="0" collapsed="false">
      <c r="A6" s="14" t="s">
        <v>50</v>
      </c>
      <c r="B6" s="15" t="s">
        <v>51</v>
      </c>
      <c r="C6" s="15" t="s">
        <v>56</v>
      </c>
      <c r="D6" s="16" t="s">
        <v>57</v>
      </c>
      <c r="E6" s="15" t="s">
        <v>54</v>
      </c>
      <c r="F6" s="17" t="n">
        <v>0.5</v>
      </c>
      <c r="G6" s="18" t="n">
        <f aca="false">F6*Parametres!$B$6</f>
        <v>200</v>
      </c>
      <c r="H6" s="15" t="s">
        <v>55</v>
      </c>
    </row>
    <row r="7" customFormat="false" ht="15" hidden="false" customHeight="false" outlineLevel="0" collapsed="false">
      <c r="A7" s="14" t="s">
        <v>50</v>
      </c>
      <c r="B7" s="15" t="s">
        <v>51</v>
      </c>
      <c r="C7" s="15" t="s">
        <v>58</v>
      </c>
      <c r="D7" s="16" t="s">
        <v>59</v>
      </c>
      <c r="E7" s="15" t="s">
        <v>54</v>
      </c>
      <c r="F7" s="17" t="n">
        <v>0.25</v>
      </c>
      <c r="G7" s="18" t="n">
        <f aca="false">F7*Parametres!$B$6</f>
        <v>100</v>
      </c>
      <c r="H7" s="15" t="s">
        <v>55</v>
      </c>
    </row>
    <row r="8" customFormat="false" ht="15" hidden="false" customHeight="false" outlineLevel="0" collapsed="false">
      <c r="A8" s="14" t="s">
        <v>50</v>
      </c>
      <c r="B8" s="15" t="s">
        <v>51</v>
      </c>
      <c r="C8" s="15" t="s">
        <v>60</v>
      </c>
      <c r="D8" s="16" t="s">
        <v>61</v>
      </c>
      <c r="E8" s="15" t="s">
        <v>54</v>
      </c>
      <c r="F8" s="17" t="n">
        <v>0.25</v>
      </c>
      <c r="G8" s="18" t="n">
        <f aca="false">F8*Parametres!$B$6</f>
        <v>100</v>
      </c>
      <c r="H8" s="15" t="s">
        <v>55</v>
      </c>
    </row>
    <row r="9" customFormat="false" ht="15" hidden="false" customHeight="false" outlineLevel="0" collapsed="false">
      <c r="A9" s="14" t="s">
        <v>62</v>
      </c>
      <c r="B9" s="15" t="s">
        <v>63</v>
      </c>
      <c r="C9" s="15" t="s">
        <v>64</v>
      </c>
      <c r="D9" s="16" t="s">
        <v>65</v>
      </c>
      <c r="E9" s="15" t="s">
        <v>54</v>
      </c>
      <c r="F9" s="17" t="n">
        <v>0.25</v>
      </c>
      <c r="G9" s="18" t="n">
        <f aca="false">F9*Parametres!$B$6</f>
        <v>100</v>
      </c>
      <c r="H9" s="15" t="s">
        <v>55</v>
      </c>
    </row>
    <row r="10" customFormat="false" ht="15" hidden="false" customHeight="false" outlineLevel="0" collapsed="false">
      <c r="A10" s="14" t="s">
        <v>62</v>
      </c>
      <c r="B10" s="15" t="s">
        <v>63</v>
      </c>
      <c r="C10" s="15" t="s">
        <v>66</v>
      </c>
      <c r="D10" s="16" t="s">
        <v>67</v>
      </c>
      <c r="E10" s="15" t="s">
        <v>54</v>
      </c>
      <c r="F10" s="17" t="n">
        <v>0.25</v>
      </c>
      <c r="G10" s="18" t="n">
        <f aca="false">F10*Parametres!$B$6</f>
        <v>100</v>
      </c>
      <c r="H10" s="15" t="s">
        <v>55</v>
      </c>
    </row>
    <row r="11" customFormat="false" ht="15" hidden="false" customHeight="false" outlineLevel="0" collapsed="false">
      <c r="A11" s="14" t="s">
        <v>62</v>
      </c>
      <c r="B11" s="15" t="s">
        <v>63</v>
      </c>
      <c r="C11" s="15" t="s">
        <v>68</v>
      </c>
      <c r="D11" s="16" t="s">
        <v>69</v>
      </c>
      <c r="E11" s="15" t="s">
        <v>54</v>
      </c>
      <c r="F11" s="17" t="n">
        <v>0.25</v>
      </c>
      <c r="G11" s="18" t="n">
        <f aca="false">F11*Parametres!$B$6</f>
        <v>100</v>
      </c>
      <c r="H11" s="15" t="s">
        <v>55</v>
      </c>
    </row>
    <row r="12" customFormat="false" ht="15" hidden="false" customHeight="false" outlineLevel="0" collapsed="false">
      <c r="A12" s="14" t="s">
        <v>62</v>
      </c>
      <c r="B12" s="15" t="s">
        <v>63</v>
      </c>
      <c r="C12" s="15" t="s">
        <v>70</v>
      </c>
      <c r="D12" s="16" t="s">
        <v>71</v>
      </c>
      <c r="E12" s="15" t="s">
        <v>54</v>
      </c>
      <c r="F12" s="17" t="n">
        <v>0.25</v>
      </c>
      <c r="G12" s="18" t="n">
        <f aca="false">F12*Parametres!$B$6</f>
        <v>100</v>
      </c>
      <c r="H12" s="15" t="s">
        <v>55</v>
      </c>
    </row>
    <row r="13" customFormat="false" ht="15" hidden="false" customHeight="false" outlineLevel="0" collapsed="false">
      <c r="A13" s="14" t="s">
        <v>62</v>
      </c>
      <c r="B13" s="15" t="s">
        <v>63</v>
      </c>
      <c r="C13" s="15" t="s">
        <v>72</v>
      </c>
      <c r="D13" s="16" t="s">
        <v>73</v>
      </c>
      <c r="E13" s="15" t="s">
        <v>54</v>
      </c>
      <c r="F13" s="17" t="n">
        <v>0.25</v>
      </c>
      <c r="G13" s="18" t="n">
        <f aca="false">F13*Parametres!$B$6</f>
        <v>100</v>
      </c>
      <c r="H13" s="15" t="s">
        <v>55</v>
      </c>
    </row>
    <row r="14" customFormat="false" ht="15" hidden="false" customHeight="false" outlineLevel="0" collapsed="false">
      <c r="A14" s="14" t="s">
        <v>74</v>
      </c>
      <c r="B14" s="15" t="s">
        <v>75</v>
      </c>
      <c r="C14" s="15" t="s">
        <v>76</v>
      </c>
      <c r="D14" s="16" t="s">
        <v>77</v>
      </c>
      <c r="E14" s="15" t="s">
        <v>54</v>
      </c>
      <c r="F14" s="17" t="n">
        <v>0.5</v>
      </c>
      <c r="G14" s="18" t="n">
        <f aca="false">F14*Parametres!$B$6</f>
        <v>200</v>
      </c>
      <c r="H14" s="15" t="s">
        <v>55</v>
      </c>
    </row>
    <row r="15" customFormat="false" ht="15" hidden="false" customHeight="false" outlineLevel="0" collapsed="false">
      <c r="A15" s="14" t="s">
        <v>74</v>
      </c>
      <c r="B15" s="15" t="s">
        <v>75</v>
      </c>
      <c r="C15" s="15" t="s">
        <v>78</v>
      </c>
      <c r="D15" s="16" t="s">
        <v>79</v>
      </c>
      <c r="E15" s="15" t="s">
        <v>54</v>
      </c>
      <c r="F15" s="17" t="n">
        <v>0.25</v>
      </c>
      <c r="G15" s="18" t="n">
        <f aca="false">F15*Parametres!$B$6</f>
        <v>100</v>
      </c>
      <c r="H15" s="15" t="s">
        <v>55</v>
      </c>
    </row>
    <row r="16" customFormat="false" ht="15" hidden="false" customHeight="false" outlineLevel="0" collapsed="false">
      <c r="A16" s="14" t="s">
        <v>74</v>
      </c>
      <c r="B16" s="15" t="s">
        <v>75</v>
      </c>
      <c r="C16" s="15" t="s">
        <v>80</v>
      </c>
      <c r="D16" s="16" t="s">
        <v>81</v>
      </c>
      <c r="E16" s="15" t="s">
        <v>54</v>
      </c>
      <c r="F16" s="17" t="n">
        <v>0.25</v>
      </c>
      <c r="G16" s="18" t="n">
        <f aca="false">F16*Parametres!$B$6</f>
        <v>100</v>
      </c>
      <c r="H16" s="15" t="s">
        <v>55</v>
      </c>
    </row>
    <row r="17" customFormat="false" ht="15" hidden="false" customHeight="false" outlineLevel="0" collapsed="false">
      <c r="A17" s="14" t="s">
        <v>74</v>
      </c>
      <c r="B17" s="15" t="s">
        <v>75</v>
      </c>
      <c r="C17" s="15" t="s">
        <v>82</v>
      </c>
      <c r="D17" s="16" t="s">
        <v>83</v>
      </c>
      <c r="E17" s="15" t="s">
        <v>54</v>
      </c>
      <c r="F17" s="17" t="n">
        <v>0.25</v>
      </c>
      <c r="G17" s="18" t="n">
        <f aca="false">F17*Parametres!$B$6</f>
        <v>100</v>
      </c>
      <c r="H17" s="15" t="s">
        <v>55</v>
      </c>
    </row>
    <row r="18" customFormat="false" ht="15" hidden="false" customHeight="false" outlineLevel="0" collapsed="false">
      <c r="A18" s="14" t="s">
        <v>74</v>
      </c>
      <c r="B18" s="15" t="s">
        <v>75</v>
      </c>
      <c r="C18" s="15" t="s">
        <v>84</v>
      </c>
      <c r="D18" s="16" t="s">
        <v>85</v>
      </c>
      <c r="E18" s="15" t="s">
        <v>54</v>
      </c>
      <c r="F18" s="17" t="n">
        <v>0.25</v>
      </c>
      <c r="G18" s="18" t="n">
        <f aca="false">F18*Parametres!$B$6</f>
        <v>100</v>
      </c>
      <c r="H18" s="15" t="s">
        <v>55</v>
      </c>
    </row>
    <row r="19" customFormat="false" ht="15" hidden="false" customHeight="false" outlineLevel="0" collapsed="false">
      <c r="A19" s="14" t="s">
        <v>74</v>
      </c>
      <c r="B19" s="15" t="s">
        <v>75</v>
      </c>
      <c r="C19" s="15" t="s">
        <v>86</v>
      </c>
      <c r="D19" s="16" t="s">
        <v>87</v>
      </c>
      <c r="E19" s="15" t="s">
        <v>54</v>
      </c>
      <c r="F19" s="17" t="n">
        <v>0.25</v>
      </c>
      <c r="G19" s="18" t="n">
        <f aca="false">F19*Parametres!$B$6</f>
        <v>100</v>
      </c>
      <c r="H19" s="15" t="s">
        <v>55</v>
      </c>
    </row>
    <row r="20" customFormat="false" ht="15" hidden="false" customHeight="false" outlineLevel="0" collapsed="false">
      <c r="A20" s="14" t="s">
        <v>88</v>
      </c>
      <c r="B20" s="15" t="s">
        <v>89</v>
      </c>
      <c r="C20" s="15" t="s">
        <v>90</v>
      </c>
      <c r="D20" s="16" t="s">
        <v>91</v>
      </c>
      <c r="E20" s="15" t="s">
        <v>54</v>
      </c>
      <c r="F20" s="17" t="n">
        <v>0.5</v>
      </c>
      <c r="G20" s="18" t="n">
        <f aca="false">F20*Parametres!$B$6</f>
        <v>200</v>
      </c>
      <c r="H20" s="15" t="s">
        <v>55</v>
      </c>
    </row>
    <row r="21" customFormat="false" ht="15" hidden="false" customHeight="false" outlineLevel="0" collapsed="false">
      <c r="A21" s="14" t="s">
        <v>88</v>
      </c>
      <c r="B21" s="15" t="s">
        <v>89</v>
      </c>
      <c r="C21" s="15" t="s">
        <v>92</v>
      </c>
      <c r="D21" s="16" t="s">
        <v>93</v>
      </c>
      <c r="E21" s="15" t="s">
        <v>54</v>
      </c>
      <c r="F21" s="17" t="n">
        <v>0.25</v>
      </c>
      <c r="G21" s="18" t="n">
        <f aca="false">F21*Parametres!$B$6</f>
        <v>100</v>
      </c>
      <c r="H21" s="15" t="s">
        <v>55</v>
      </c>
    </row>
    <row r="22" customFormat="false" ht="15" hidden="false" customHeight="false" outlineLevel="0" collapsed="false">
      <c r="A22" s="14" t="s">
        <v>88</v>
      </c>
      <c r="B22" s="15" t="s">
        <v>89</v>
      </c>
      <c r="C22" s="15" t="s">
        <v>94</v>
      </c>
      <c r="D22" s="16" t="s">
        <v>95</v>
      </c>
      <c r="E22" s="15" t="s">
        <v>54</v>
      </c>
      <c r="F22" s="17" t="n">
        <v>0.25</v>
      </c>
      <c r="G22" s="18" t="n">
        <f aca="false">F22*Parametres!$B$6</f>
        <v>100</v>
      </c>
      <c r="H22" s="15" t="s">
        <v>55</v>
      </c>
    </row>
    <row r="23" customFormat="false" ht="15" hidden="false" customHeight="false" outlineLevel="0" collapsed="false">
      <c r="A23" s="14" t="s">
        <v>88</v>
      </c>
      <c r="B23" s="15" t="s">
        <v>89</v>
      </c>
      <c r="C23" s="15" t="s">
        <v>96</v>
      </c>
      <c r="D23" s="16" t="s">
        <v>97</v>
      </c>
      <c r="E23" s="15" t="s">
        <v>54</v>
      </c>
      <c r="F23" s="17" t="n">
        <v>0.5</v>
      </c>
      <c r="G23" s="18" t="n">
        <f aca="false">F23*Parametres!$B$6</f>
        <v>200</v>
      </c>
      <c r="H23" s="15" t="s">
        <v>55</v>
      </c>
    </row>
    <row r="24" customFormat="false" ht="15" hidden="false" customHeight="false" outlineLevel="0" collapsed="false">
      <c r="A24" s="14" t="s">
        <v>88</v>
      </c>
      <c r="B24" s="15" t="s">
        <v>89</v>
      </c>
      <c r="C24" s="15" t="s">
        <v>98</v>
      </c>
      <c r="D24" s="16" t="s">
        <v>99</v>
      </c>
      <c r="E24" s="15" t="s">
        <v>54</v>
      </c>
      <c r="F24" s="17" t="n">
        <v>0.25</v>
      </c>
      <c r="G24" s="18" t="n">
        <f aca="false">F24*Parametres!$B$6</f>
        <v>100</v>
      </c>
      <c r="H24" s="15" t="s">
        <v>55</v>
      </c>
    </row>
    <row r="25" customFormat="false" ht="15" hidden="false" customHeight="false" outlineLevel="0" collapsed="false">
      <c r="A25" s="14" t="s">
        <v>100</v>
      </c>
      <c r="B25" s="15" t="s">
        <v>101</v>
      </c>
      <c r="C25" s="15" t="s">
        <v>102</v>
      </c>
      <c r="D25" s="16" t="s">
        <v>103</v>
      </c>
      <c r="E25" s="15" t="s">
        <v>54</v>
      </c>
      <c r="F25" s="17" t="n">
        <v>0.25</v>
      </c>
      <c r="G25" s="18" t="n">
        <f aca="false">F25*Parametres!$B$6</f>
        <v>100</v>
      </c>
      <c r="H25" s="15" t="s">
        <v>55</v>
      </c>
    </row>
    <row r="26" customFormat="false" ht="15" hidden="false" customHeight="false" outlineLevel="0" collapsed="false">
      <c r="A26" s="14" t="s">
        <v>100</v>
      </c>
      <c r="B26" s="15" t="s">
        <v>101</v>
      </c>
      <c r="C26" s="15" t="s">
        <v>104</v>
      </c>
      <c r="D26" s="16" t="s">
        <v>105</v>
      </c>
      <c r="E26" s="15" t="s">
        <v>54</v>
      </c>
      <c r="F26" s="17" t="n">
        <v>0.5</v>
      </c>
      <c r="G26" s="18" t="n">
        <f aca="false">F26*Parametres!$B$6</f>
        <v>200</v>
      </c>
      <c r="H26" s="15" t="s">
        <v>55</v>
      </c>
    </row>
    <row r="27" customFormat="false" ht="15" hidden="false" customHeight="false" outlineLevel="0" collapsed="false">
      <c r="A27" s="14" t="s">
        <v>100</v>
      </c>
      <c r="B27" s="15" t="s">
        <v>101</v>
      </c>
      <c r="C27" s="15" t="s">
        <v>106</v>
      </c>
      <c r="D27" s="16" t="s">
        <v>107</v>
      </c>
      <c r="E27" s="15" t="s">
        <v>54</v>
      </c>
      <c r="F27" s="17" t="n">
        <v>0.5</v>
      </c>
      <c r="G27" s="18" t="n">
        <f aca="false">F27*Parametres!$B$6</f>
        <v>200</v>
      </c>
      <c r="H27" s="15" t="s">
        <v>55</v>
      </c>
    </row>
    <row r="28" customFormat="false" ht="15" hidden="false" customHeight="false" outlineLevel="0" collapsed="false">
      <c r="A28" s="14" t="s">
        <v>100</v>
      </c>
      <c r="B28" s="15" t="s">
        <v>101</v>
      </c>
      <c r="C28" s="15" t="s">
        <v>108</v>
      </c>
      <c r="D28" s="16" t="s">
        <v>109</v>
      </c>
      <c r="E28" s="15" t="s">
        <v>54</v>
      </c>
      <c r="F28" s="17" t="n">
        <v>0.5</v>
      </c>
      <c r="G28" s="18" t="n">
        <f aca="false">F28*Parametres!$B$6</f>
        <v>200</v>
      </c>
      <c r="H28" s="15" t="s">
        <v>55</v>
      </c>
    </row>
    <row r="29" customFormat="false" ht="15" hidden="false" customHeight="false" outlineLevel="0" collapsed="false">
      <c r="A29" s="19" t="s">
        <v>100</v>
      </c>
      <c r="B29" s="20" t="s">
        <v>101</v>
      </c>
      <c r="C29" s="20" t="s">
        <v>110</v>
      </c>
      <c r="D29" s="21" t="s">
        <v>111</v>
      </c>
      <c r="E29" s="19" t="s">
        <v>112</v>
      </c>
      <c r="F29" s="17" t="n">
        <v>0.5</v>
      </c>
      <c r="G29" s="22" t="n">
        <f aca="false">F29*Parametres!$B$6</f>
        <v>200</v>
      </c>
      <c r="H29" s="20" t="s">
        <v>55</v>
      </c>
    </row>
    <row r="30" customFormat="false" ht="15" hidden="false" customHeight="false" outlineLevel="0" collapsed="false">
      <c r="A30" s="19" t="s">
        <v>100</v>
      </c>
      <c r="B30" s="20" t="s">
        <v>101</v>
      </c>
      <c r="C30" s="20" t="s">
        <v>113</v>
      </c>
      <c r="D30" s="21" t="s">
        <v>114</v>
      </c>
      <c r="E30" s="19" t="s">
        <v>112</v>
      </c>
      <c r="F30" s="17" t="n">
        <v>0.5</v>
      </c>
      <c r="G30" s="22" t="n">
        <f aca="false">F30*Parametres!$B$6</f>
        <v>200</v>
      </c>
      <c r="H30" s="20" t="s">
        <v>55</v>
      </c>
    </row>
    <row r="31" customFormat="false" ht="15" hidden="false" customHeight="false" outlineLevel="0" collapsed="false">
      <c r="A31" s="14" t="s">
        <v>115</v>
      </c>
      <c r="B31" s="15" t="s">
        <v>116</v>
      </c>
      <c r="C31" s="15" t="s">
        <v>117</v>
      </c>
      <c r="D31" s="16" t="s">
        <v>118</v>
      </c>
      <c r="E31" s="15" t="s">
        <v>54</v>
      </c>
      <c r="F31" s="17" t="n">
        <v>0.5</v>
      </c>
      <c r="G31" s="18" t="n">
        <f aca="false">F31*Parametres!$B$6</f>
        <v>200</v>
      </c>
      <c r="H31" s="15" t="s">
        <v>55</v>
      </c>
    </row>
    <row r="32" customFormat="false" ht="15" hidden="false" customHeight="false" outlineLevel="0" collapsed="false">
      <c r="A32" s="14" t="s">
        <v>115</v>
      </c>
      <c r="B32" s="15" t="s">
        <v>116</v>
      </c>
      <c r="C32" s="15" t="s">
        <v>119</v>
      </c>
      <c r="D32" s="16" t="s">
        <v>120</v>
      </c>
      <c r="E32" s="15" t="s">
        <v>54</v>
      </c>
      <c r="F32" s="17" t="n">
        <v>0.25</v>
      </c>
      <c r="G32" s="18" t="n">
        <f aca="false">F32*Parametres!$B$6</f>
        <v>100</v>
      </c>
      <c r="H32" s="15" t="s">
        <v>55</v>
      </c>
    </row>
    <row r="33" customFormat="false" ht="15" hidden="false" customHeight="false" outlineLevel="0" collapsed="false">
      <c r="A33" s="14" t="s">
        <v>115</v>
      </c>
      <c r="B33" s="15" t="s">
        <v>116</v>
      </c>
      <c r="C33" s="15" t="s">
        <v>121</v>
      </c>
      <c r="D33" s="16" t="s">
        <v>122</v>
      </c>
      <c r="E33" s="15" t="s">
        <v>54</v>
      </c>
      <c r="F33" s="17" t="n">
        <v>0.25</v>
      </c>
      <c r="G33" s="18" t="n">
        <f aca="false">F33*Parametres!$B$6</f>
        <v>100</v>
      </c>
      <c r="H33" s="15" t="s">
        <v>55</v>
      </c>
    </row>
    <row r="34" customFormat="false" ht="23.85" hidden="false" customHeight="false" outlineLevel="0" collapsed="false">
      <c r="A34" s="14" t="s">
        <v>123</v>
      </c>
      <c r="B34" s="15" t="s">
        <v>124</v>
      </c>
      <c r="C34" s="15" t="s">
        <v>125</v>
      </c>
      <c r="D34" s="16" t="s">
        <v>126</v>
      </c>
      <c r="E34" s="15" t="s">
        <v>54</v>
      </c>
      <c r="F34" s="17" t="n">
        <v>0.25</v>
      </c>
      <c r="G34" s="18" t="n">
        <f aca="false">F34*Parametres!$B$6</f>
        <v>100</v>
      </c>
      <c r="H34" s="15" t="s">
        <v>55</v>
      </c>
    </row>
    <row r="35" customFormat="false" ht="15" hidden="false" customHeight="false" outlineLevel="0" collapsed="false">
      <c r="A35" s="19" t="s">
        <v>123</v>
      </c>
      <c r="B35" s="20" t="s">
        <v>124</v>
      </c>
      <c r="C35" s="20" t="s">
        <v>127</v>
      </c>
      <c r="D35" s="21" t="s">
        <v>128</v>
      </c>
      <c r="E35" s="19" t="s">
        <v>112</v>
      </c>
      <c r="F35" s="17" t="n">
        <v>1</v>
      </c>
      <c r="G35" s="22" t="n">
        <f aca="false">F35*Parametres!$B$6</f>
        <v>400</v>
      </c>
      <c r="H35" s="20" t="s">
        <v>55</v>
      </c>
    </row>
    <row r="36" customFormat="false" ht="15" hidden="false" customHeight="false" outlineLevel="0" collapsed="false">
      <c r="A36" s="19" t="s">
        <v>123</v>
      </c>
      <c r="B36" s="20" t="s">
        <v>124</v>
      </c>
      <c r="C36" s="20" t="s">
        <v>129</v>
      </c>
      <c r="D36" s="21" t="s">
        <v>130</v>
      </c>
      <c r="E36" s="19" t="s">
        <v>112</v>
      </c>
      <c r="F36" s="17" t="n">
        <v>0.75</v>
      </c>
      <c r="G36" s="22" t="n">
        <f aca="false">F36*Parametres!$B$6</f>
        <v>300</v>
      </c>
      <c r="H36" s="20" t="s">
        <v>55</v>
      </c>
    </row>
    <row r="37" customFormat="false" ht="15" hidden="false" customHeight="false" outlineLevel="0" collapsed="false">
      <c r="A37" s="14" t="s">
        <v>131</v>
      </c>
      <c r="B37" s="15" t="s">
        <v>132</v>
      </c>
      <c r="C37" s="15" t="s">
        <v>133</v>
      </c>
      <c r="D37" s="16" t="s">
        <v>134</v>
      </c>
      <c r="E37" s="15" t="s">
        <v>54</v>
      </c>
      <c r="F37" s="17" t="n">
        <v>0.25</v>
      </c>
      <c r="G37" s="18" t="n">
        <f aca="false">F37*Parametres!$B$6</f>
        <v>100</v>
      </c>
      <c r="H37" s="15" t="s">
        <v>55</v>
      </c>
    </row>
    <row r="38" customFormat="false" ht="15" hidden="false" customHeight="false" outlineLevel="0" collapsed="false">
      <c r="A38" s="14" t="s">
        <v>131</v>
      </c>
      <c r="B38" s="15" t="s">
        <v>132</v>
      </c>
      <c r="C38" s="15" t="s">
        <v>135</v>
      </c>
      <c r="D38" s="16" t="s">
        <v>136</v>
      </c>
      <c r="E38" s="15" t="s">
        <v>54</v>
      </c>
      <c r="F38" s="17" t="n">
        <v>0.25</v>
      </c>
      <c r="G38" s="18" t="n">
        <f aca="false">F38*Parametres!$B$6</f>
        <v>100</v>
      </c>
      <c r="H38" s="15" t="s">
        <v>55</v>
      </c>
    </row>
    <row r="39" customFormat="false" ht="15" hidden="false" customHeight="false" outlineLevel="0" collapsed="false">
      <c r="A39" s="14" t="s">
        <v>131</v>
      </c>
      <c r="B39" s="15" t="s">
        <v>132</v>
      </c>
      <c r="C39" s="15" t="s">
        <v>137</v>
      </c>
      <c r="D39" s="16" t="s">
        <v>138</v>
      </c>
      <c r="E39" s="15" t="s">
        <v>54</v>
      </c>
      <c r="F39" s="17" t="n">
        <v>0.25</v>
      </c>
      <c r="G39" s="18" t="n">
        <f aca="false">F39*Parametres!$B$6</f>
        <v>100</v>
      </c>
      <c r="H39" s="15" t="s">
        <v>55</v>
      </c>
    </row>
    <row r="40" customFormat="false" ht="15" hidden="false" customHeight="false" outlineLevel="0" collapsed="false">
      <c r="A40" s="14" t="s">
        <v>139</v>
      </c>
      <c r="B40" s="15" t="s">
        <v>140</v>
      </c>
      <c r="C40" s="15" t="s">
        <v>141</v>
      </c>
      <c r="D40" s="16" t="s">
        <v>142</v>
      </c>
      <c r="E40" s="15" t="s">
        <v>54</v>
      </c>
      <c r="F40" s="17" t="n">
        <v>0.25</v>
      </c>
      <c r="G40" s="18" t="n">
        <f aca="false">F40*Parametres!$B$6</f>
        <v>100</v>
      </c>
      <c r="H40" s="15" t="s">
        <v>55</v>
      </c>
    </row>
    <row r="41" customFormat="false" ht="15" hidden="false" customHeight="false" outlineLevel="0" collapsed="false">
      <c r="A41" s="14" t="s">
        <v>139</v>
      </c>
      <c r="B41" s="15" t="s">
        <v>140</v>
      </c>
      <c r="C41" s="15" t="s">
        <v>143</v>
      </c>
      <c r="D41" s="16" t="s">
        <v>144</v>
      </c>
      <c r="E41" s="15" t="s">
        <v>54</v>
      </c>
      <c r="F41" s="17" t="n">
        <v>0.5</v>
      </c>
      <c r="G41" s="18" t="n">
        <f aca="false">F41*Parametres!$B$6</f>
        <v>200</v>
      </c>
      <c r="H41" s="15" t="s">
        <v>55</v>
      </c>
    </row>
    <row r="42" customFormat="false" ht="15" hidden="false" customHeight="false" outlineLevel="0" collapsed="false">
      <c r="A42" s="14" t="s">
        <v>139</v>
      </c>
      <c r="B42" s="15" t="s">
        <v>140</v>
      </c>
      <c r="C42" s="15" t="s">
        <v>145</v>
      </c>
      <c r="D42" s="16" t="s">
        <v>146</v>
      </c>
      <c r="E42" s="15" t="s">
        <v>54</v>
      </c>
      <c r="F42" s="17" t="n">
        <v>0.25</v>
      </c>
      <c r="G42" s="18" t="n">
        <f aca="false">F42*Parametres!$B$6</f>
        <v>100</v>
      </c>
      <c r="H42" s="15" t="s">
        <v>55</v>
      </c>
    </row>
    <row r="43" customFormat="false" ht="15" hidden="false" customHeight="false" outlineLevel="0" collapsed="false">
      <c r="A43" s="14" t="s">
        <v>139</v>
      </c>
      <c r="B43" s="15" t="s">
        <v>140</v>
      </c>
      <c r="C43" s="15" t="s">
        <v>147</v>
      </c>
      <c r="D43" s="16" t="s">
        <v>148</v>
      </c>
      <c r="E43" s="15" t="s">
        <v>54</v>
      </c>
      <c r="F43" s="17" t="n">
        <v>0.25</v>
      </c>
      <c r="G43" s="18" t="n">
        <f aca="false">F43*Parametres!$B$6</f>
        <v>100</v>
      </c>
      <c r="H43" s="15" t="s">
        <v>55</v>
      </c>
    </row>
    <row r="44" customFormat="false" ht="23.85" hidden="false" customHeight="false" outlineLevel="0" collapsed="false">
      <c r="A44" s="14" t="s">
        <v>149</v>
      </c>
      <c r="B44" s="15" t="s">
        <v>150</v>
      </c>
      <c r="C44" s="15" t="s">
        <v>151</v>
      </c>
      <c r="D44" s="16" t="s">
        <v>152</v>
      </c>
      <c r="E44" s="15" t="s">
        <v>54</v>
      </c>
      <c r="F44" s="17" t="n">
        <v>2</v>
      </c>
      <c r="G44" s="18" t="n">
        <f aca="false">F44*Parametres!$B$6</f>
        <v>800</v>
      </c>
      <c r="H44" s="15" t="s">
        <v>55</v>
      </c>
    </row>
    <row r="45" customFormat="false" ht="15" hidden="false" customHeight="false" outlineLevel="0" collapsed="false">
      <c r="A45" s="19" t="s">
        <v>153</v>
      </c>
      <c r="B45" s="20" t="s">
        <v>154</v>
      </c>
      <c r="C45" s="20" t="s">
        <v>155</v>
      </c>
      <c r="D45" s="21" t="s">
        <v>156</v>
      </c>
      <c r="E45" s="19" t="s">
        <v>112</v>
      </c>
      <c r="F45" s="17" t="n">
        <v>2</v>
      </c>
      <c r="G45" s="22" t="n">
        <f aca="false">F45*Parametres!$B$6</f>
        <v>800</v>
      </c>
      <c r="H45" s="20" t="s">
        <v>55</v>
      </c>
    </row>
    <row r="46" customFormat="false" ht="23.85" hidden="false" customHeight="false" outlineLevel="0" collapsed="false">
      <c r="A46" s="19" t="s">
        <v>153</v>
      </c>
      <c r="B46" s="20" t="s">
        <v>154</v>
      </c>
      <c r="C46" s="20" t="s">
        <v>157</v>
      </c>
      <c r="D46" s="21" t="s">
        <v>158</v>
      </c>
      <c r="E46" s="19" t="s">
        <v>112</v>
      </c>
      <c r="F46" s="17" t="n">
        <v>2</v>
      </c>
      <c r="G46" s="22" t="n">
        <f aca="false">F46*Parametres!$B$6</f>
        <v>800</v>
      </c>
      <c r="H46" s="20" t="s">
        <v>55</v>
      </c>
    </row>
    <row r="47" customFormat="false" ht="15" hidden="false" customHeight="false" outlineLevel="0" collapsed="false">
      <c r="A47" s="19" t="s">
        <v>153</v>
      </c>
      <c r="B47" s="20" t="s">
        <v>154</v>
      </c>
      <c r="C47" s="20" t="s">
        <v>159</v>
      </c>
      <c r="D47" s="21" t="s">
        <v>160</v>
      </c>
      <c r="E47" s="19" t="s">
        <v>112</v>
      </c>
      <c r="F47" s="17" t="n">
        <v>2</v>
      </c>
      <c r="G47" s="22" t="n">
        <f aca="false">F47*Parametres!$B$6</f>
        <v>800</v>
      </c>
      <c r="H47" s="20" t="s">
        <v>55</v>
      </c>
    </row>
    <row r="48" customFormat="false" ht="15" hidden="false" customHeight="false" outlineLevel="0" collapsed="false">
      <c r="A48" s="19" t="s">
        <v>153</v>
      </c>
      <c r="B48" s="20" t="s">
        <v>154</v>
      </c>
      <c r="C48" s="20" t="s">
        <v>161</v>
      </c>
      <c r="D48" s="21" t="s">
        <v>162</v>
      </c>
      <c r="E48" s="19" t="s">
        <v>112</v>
      </c>
      <c r="F48" s="17" t="n">
        <v>1</v>
      </c>
      <c r="G48" s="22" t="n">
        <f aca="false">F48*Parametres!$B$6</f>
        <v>400</v>
      </c>
      <c r="H48" s="20" t="s">
        <v>55</v>
      </c>
    </row>
    <row r="50" customFormat="false" ht="15" hidden="false" customHeight="false" outlineLevel="0" collapsed="false">
      <c r="D50" s="23" t="s">
        <v>163</v>
      </c>
      <c r="F50" s="24" t="n">
        <f aca="false">SUMIFS(F5:F48,E5:E48,"Socle")</f>
        <v>13.25</v>
      </c>
      <c r="G50" s="25" t="n">
        <f aca="false">SUMIFS(G5:G48,E5:E48,"Socle")</f>
        <v>5300</v>
      </c>
    </row>
    <row r="51" customFormat="false" ht="15" hidden="false" customHeight="false" outlineLevel="0" collapsed="false">
      <c r="D51" s="23" t="s">
        <v>164</v>
      </c>
      <c r="F51" s="24" t="n">
        <f aca="false">SUMIFS(F5:F48,E5:E48,"Option")</f>
        <v>9.75</v>
      </c>
      <c r="G51" s="25" t="n">
        <f aca="false">SUMIFS(G5:G48,E5:E48,"Option")</f>
        <v>3900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70"/>
    <col collapsed="false" customWidth="true" hidden="false" outlineLevel="0" max="5" min="4" style="0" width="12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15" hidden="false" customHeight="false" outlineLevel="0" collapsed="false">
      <c r="A4" s="26" t="s">
        <v>167</v>
      </c>
      <c r="B4" s="27"/>
      <c r="C4" s="27"/>
      <c r="D4" s="27"/>
      <c r="E4" s="27"/>
      <c r="F4" s="27"/>
    </row>
    <row r="5" customFormat="false" ht="15" hidden="false" customHeight="false" outlineLevel="0" collapsed="false">
      <c r="A5" s="28" t="s">
        <v>168</v>
      </c>
      <c r="B5" s="28" t="s">
        <v>169</v>
      </c>
      <c r="C5" s="28" t="s">
        <v>170</v>
      </c>
      <c r="D5" s="28" t="s">
        <v>171</v>
      </c>
      <c r="E5" s="28" t="s">
        <v>172</v>
      </c>
      <c r="F5" s="28" t="s">
        <v>173</v>
      </c>
    </row>
    <row r="6" customFormat="false" ht="22.35" hidden="false" customHeight="false" outlineLevel="0" collapsed="false">
      <c r="A6" s="14" t="s">
        <v>174</v>
      </c>
      <c r="B6" s="15" t="s">
        <v>175</v>
      </c>
      <c r="C6" s="29" t="s">
        <v>176</v>
      </c>
      <c r="D6" s="30" t="n">
        <f aca="false">SUMIFS(Kanban_Chiffrage!$F$5:$F$48,Kanban_Chiffrage!$A$5:$A$48,"LOT 0",Kanban_Chiffrage!$E$5:$E$48,"Socle")</f>
        <v>1.5</v>
      </c>
      <c r="E6" s="31" t="n">
        <f aca="false">Parametres!$B$6</f>
        <v>400</v>
      </c>
      <c r="F6" s="31" t="n">
        <f aca="false">D6*E6</f>
        <v>600</v>
      </c>
    </row>
    <row r="7" customFormat="false" ht="22.35" hidden="false" customHeight="false" outlineLevel="0" collapsed="false">
      <c r="A7" s="14" t="s">
        <v>177</v>
      </c>
      <c r="B7" s="15" t="s">
        <v>178</v>
      </c>
      <c r="C7" s="29" t="s">
        <v>179</v>
      </c>
      <c r="D7" s="30" t="n">
        <f aca="false">SUMIFS(Kanban_Chiffrage!$F$5:$F$48,Kanban_Chiffrage!$A$5:$A$48,"LOT 1",Kanban_Chiffrage!$E$5:$E$48,"Socle")+SUMIFS(Kanban_Chiffrage!$F$5:$F$48,Kanban_Chiffrage!$A$5:$A$48,"LOT 2",Kanban_Chiffrage!$E$5:$E$48,"Socle")</f>
        <v>3</v>
      </c>
      <c r="E7" s="31" t="n">
        <f aca="false">Parametres!$B$6</f>
        <v>400</v>
      </c>
      <c r="F7" s="31" t="n">
        <f aca="false">D7*E7</f>
        <v>1200</v>
      </c>
    </row>
    <row r="8" customFormat="false" ht="22.35" hidden="false" customHeight="false" outlineLevel="0" collapsed="false">
      <c r="A8" s="14" t="s">
        <v>180</v>
      </c>
      <c r="B8" s="15" t="s">
        <v>181</v>
      </c>
      <c r="C8" s="29" t="s">
        <v>182</v>
      </c>
      <c r="D8" s="30" t="n">
        <f aca="false">SUMIFS(Kanban_Chiffrage!$F$5:$F$48,Kanban_Chiffrage!$A$5:$A$48,"LOT 3",Kanban_Chiffrage!$E$5:$E$48,"Socle")</f>
        <v>1.75</v>
      </c>
      <c r="E8" s="31" t="n">
        <f aca="false">Parametres!$B$6</f>
        <v>400</v>
      </c>
      <c r="F8" s="31" t="n">
        <f aca="false">D8*E8</f>
        <v>700</v>
      </c>
    </row>
    <row r="9" customFormat="false" ht="22.35" hidden="false" customHeight="false" outlineLevel="0" collapsed="false">
      <c r="A9" s="14" t="s">
        <v>183</v>
      </c>
      <c r="B9" s="15" t="s">
        <v>184</v>
      </c>
      <c r="C9" s="29" t="s">
        <v>185</v>
      </c>
      <c r="D9" s="30" t="n">
        <f aca="false">SUMIFS(Kanban_Chiffrage!$F$5:$F$48,Kanban_Chiffrage!$A$5:$A$48,"LOT 4",Kanban_Chiffrage!$E$5:$E$48,"Socle")</f>
        <v>1.75</v>
      </c>
      <c r="E9" s="31" t="n">
        <f aca="false">Parametres!$B$6</f>
        <v>400</v>
      </c>
      <c r="F9" s="31" t="n">
        <f aca="false">D9*E9</f>
        <v>700</v>
      </c>
    </row>
    <row r="10" customFormat="false" ht="22.35" hidden="false" customHeight="false" outlineLevel="0" collapsed="false">
      <c r="A10" s="14" t="s">
        <v>186</v>
      </c>
      <c r="B10" s="15" t="s">
        <v>187</v>
      </c>
      <c r="C10" s="29" t="s">
        <v>188</v>
      </c>
      <c r="D10" s="30" t="n">
        <f aca="false">SUMIFS(Kanban_Chiffrage!$F$5:$F$48,Kanban_Chiffrage!$A$5:$A$48,"LOT 5",Kanban_Chiffrage!$E$5:$E$48,"Socle")+SUMIFS(Kanban_Chiffrage!$F$5:$F$48,Kanban_Chiffrage!$A$5:$A$48,"LOT 6",Kanban_Chiffrage!$E$5:$E$48,"Socle")</f>
        <v>1.25</v>
      </c>
      <c r="E10" s="31" t="n">
        <f aca="false">Parametres!$B$6</f>
        <v>400</v>
      </c>
      <c r="F10" s="31" t="n">
        <f aca="false">D10*E10</f>
        <v>500</v>
      </c>
    </row>
    <row r="11" customFormat="false" ht="22.35" hidden="false" customHeight="false" outlineLevel="0" collapsed="false">
      <c r="A11" s="14" t="s">
        <v>189</v>
      </c>
      <c r="B11" s="15" t="s">
        <v>190</v>
      </c>
      <c r="C11" s="29" t="s">
        <v>191</v>
      </c>
      <c r="D11" s="30" t="n">
        <f aca="false">SUMIFS(Kanban_Chiffrage!$F$5:$F$48,Kanban_Chiffrage!$A$5:$A$48,"LOT 7",Kanban_Chiffrage!$E$5:$E$48,"Socle")+SUMIFS(Kanban_Chiffrage!$F$5:$F$48,Kanban_Chiffrage!$A$5:$A$48,"LOT 8",Kanban_Chiffrage!$E$5:$E$48,"Socle")</f>
        <v>2</v>
      </c>
      <c r="E11" s="31" t="n">
        <f aca="false">Parametres!$B$6</f>
        <v>400</v>
      </c>
      <c r="F11" s="31" t="n">
        <f aca="false">D11*E11</f>
        <v>800</v>
      </c>
    </row>
    <row r="12" customFormat="false" ht="22.35" hidden="false" customHeight="false" outlineLevel="0" collapsed="false">
      <c r="A12" s="14" t="s">
        <v>192</v>
      </c>
      <c r="B12" s="15" t="s">
        <v>193</v>
      </c>
      <c r="C12" s="29" t="s">
        <v>194</v>
      </c>
      <c r="D12" s="30" t="n">
        <f aca="false">SUMIFS(Kanban_Chiffrage!$F$5:$F$48,Kanban_Chiffrage!$A$5:$A$48,"LOT 9",Kanban_Chiffrage!$E$5:$E$48,"Socle")</f>
        <v>2</v>
      </c>
      <c r="E12" s="31" t="n">
        <f aca="false">Parametres!$B$6</f>
        <v>400</v>
      </c>
      <c r="F12" s="31" t="n">
        <f aca="false">D12*E12</f>
        <v>800</v>
      </c>
    </row>
    <row r="13" customFormat="false" ht="15" hidden="false" customHeight="false" outlineLevel="0" collapsed="false">
      <c r="A13" s="23"/>
      <c r="B13" s="23" t="s">
        <v>195</v>
      </c>
      <c r="C13" s="23"/>
      <c r="D13" s="24" t="n">
        <f aca="false">SUM(D6:D12)</f>
        <v>13.25</v>
      </c>
      <c r="E13" s="23"/>
      <c r="F13" s="25" t="n">
        <f aca="false">SUM(F6:F12)</f>
        <v>5300</v>
      </c>
    </row>
    <row r="14" customFormat="false" ht="15" hidden="false" customHeight="false" outlineLevel="0" collapsed="false">
      <c r="A14" s="32" t="s">
        <v>196</v>
      </c>
      <c r="B14" s="4" t="s">
        <v>197</v>
      </c>
      <c r="C14" s="33" t="s">
        <v>198</v>
      </c>
      <c r="D14" s="34"/>
      <c r="E14" s="34"/>
      <c r="F14" s="35" t="n">
        <f aca="false">-ROUND(F13*Parametres!$B$7,-2)</f>
        <v>-0</v>
      </c>
    </row>
    <row r="15" customFormat="false" ht="15" hidden="false" customHeight="false" outlineLevel="0" collapsed="false">
      <c r="A15" s="36"/>
      <c r="B15" s="36" t="s">
        <v>199</v>
      </c>
      <c r="C15" s="36"/>
      <c r="D15" s="36"/>
      <c r="E15" s="36"/>
      <c r="F15" s="37" t="n">
        <f aca="false">F13+F14</f>
        <v>5300</v>
      </c>
    </row>
    <row r="17" customFormat="false" ht="15" hidden="false" customHeight="false" outlineLevel="0" collapsed="false">
      <c r="A17" s="26" t="s">
        <v>200</v>
      </c>
      <c r="B17" s="27"/>
      <c r="C17" s="27"/>
      <c r="D17" s="27"/>
      <c r="E17" s="27"/>
      <c r="F17" s="27"/>
    </row>
    <row r="18" customFormat="false" ht="15" hidden="false" customHeight="false" outlineLevel="0" collapsed="false">
      <c r="A18" s="28" t="s">
        <v>168</v>
      </c>
      <c r="B18" s="28" t="s">
        <v>201</v>
      </c>
      <c r="C18" s="28" t="s">
        <v>170</v>
      </c>
      <c r="D18" s="28" t="s">
        <v>202</v>
      </c>
      <c r="E18" s="28" t="s">
        <v>48</v>
      </c>
    </row>
    <row r="19" customFormat="false" ht="43.25" hidden="false" customHeight="false" outlineLevel="0" collapsed="false">
      <c r="A19" s="14" t="s">
        <v>203</v>
      </c>
      <c r="B19" s="15" t="s">
        <v>204</v>
      </c>
      <c r="C19" s="29" t="s">
        <v>205</v>
      </c>
      <c r="D19" s="15" t="s">
        <v>206</v>
      </c>
      <c r="E19" s="31" t="n">
        <f aca="false">Parametres!$B$9</f>
        <v>189</v>
      </c>
    </row>
    <row r="20" customFormat="false" ht="15" hidden="false" customHeight="false" outlineLevel="0" collapsed="false">
      <c r="A20" s="14" t="s">
        <v>207</v>
      </c>
      <c r="B20" s="15" t="s">
        <v>208</v>
      </c>
      <c r="C20" s="29" t="s">
        <v>209</v>
      </c>
      <c r="D20" s="15" t="s">
        <v>206</v>
      </c>
      <c r="E20" s="31" t="n">
        <f aca="false">Parametres!$B$10</f>
        <v>219</v>
      </c>
    </row>
    <row r="21" customFormat="false" ht="15" hidden="false" customHeight="false" outlineLevel="0" collapsed="false">
      <c r="A21" s="14" t="s">
        <v>210</v>
      </c>
      <c r="B21" s="15" t="s">
        <v>211</v>
      </c>
      <c r="C21" s="29" t="s">
        <v>212</v>
      </c>
      <c r="D21" s="15" t="s">
        <v>213</v>
      </c>
      <c r="E21" s="31" t="n">
        <f aca="false">ROUND(Parametres!$B$9*10,-1)</f>
        <v>1890</v>
      </c>
    </row>
    <row r="22" customFormat="false" ht="15" hidden="false" customHeight="false" outlineLevel="0" collapsed="false">
      <c r="A22" s="14" t="s">
        <v>214</v>
      </c>
      <c r="B22" s="15" t="s">
        <v>215</v>
      </c>
      <c r="C22" s="29" t="s">
        <v>216</v>
      </c>
      <c r="D22" s="15" t="s">
        <v>217</v>
      </c>
      <c r="E22" s="31" t="n">
        <f aca="false">Parametres!$B$11</f>
        <v>60</v>
      </c>
    </row>
    <row r="24" customFormat="false" ht="15" hidden="false" customHeight="false" outlineLevel="0" collapsed="false">
      <c r="A24" s="26" t="s">
        <v>218</v>
      </c>
      <c r="B24" s="27"/>
      <c r="C24" s="27"/>
      <c r="D24" s="27"/>
      <c r="E24" s="27"/>
      <c r="F24" s="27"/>
    </row>
    <row r="25" customFormat="false" ht="15" hidden="false" customHeight="false" outlineLevel="0" collapsed="false">
      <c r="B25" s="12" t="s">
        <v>219</v>
      </c>
      <c r="D25" s="38" t="n">
        <f aca="false">Parametres!$B$8</f>
        <v>0.4</v>
      </c>
      <c r="F25" s="39" t="n">
        <f aca="false">ROUND(F15*Parametres!$B$8,-1)</f>
        <v>2120</v>
      </c>
    </row>
    <row r="26" customFormat="false" ht="15" hidden="false" customHeight="false" outlineLevel="0" collapsed="false">
      <c r="B26" s="12" t="s">
        <v>220</v>
      </c>
      <c r="F26" s="39" t="n">
        <f aca="false">F15-F25</f>
        <v>3180</v>
      </c>
    </row>
    <row r="27" customFormat="false" ht="15" hidden="false" customHeight="false" outlineLevel="0" collapsed="false">
      <c r="B27" s="8" t="s">
        <v>221</v>
      </c>
      <c r="F27" s="39" t="n">
        <f aca="false">F15+Parametres!$B$9*12</f>
        <v>7568</v>
      </c>
    </row>
    <row r="28" customFormat="false" ht="15" hidden="false" customHeight="false" outlineLevel="0" collapsed="false">
      <c r="B28" s="12" t="s">
        <v>222</v>
      </c>
      <c r="C28" s="12" t="s">
        <v>223</v>
      </c>
    </row>
    <row r="29" customFormat="false" ht="15" hidden="false" customHeight="false" outlineLevel="0" collapsed="false">
      <c r="B29" s="12" t="s">
        <v>224</v>
      </c>
      <c r="C29" s="12" t="s">
        <v>225</v>
      </c>
    </row>
    <row r="30" customFormat="false" ht="15" hidden="false" customHeight="false" outlineLevel="0" collapsed="false">
      <c r="B30" s="12" t="s">
        <v>226</v>
      </c>
      <c r="C30" s="12" t="s">
        <v>227</v>
      </c>
    </row>
    <row r="31" customFormat="false" ht="32.8" hidden="false" customHeight="false" outlineLevel="0" collapsed="false">
      <c r="B31" s="8" t="s">
        <v>228</v>
      </c>
      <c r="C31" s="40" t="s">
        <v>229</v>
      </c>
    </row>
    <row r="33" customFormat="false" ht="15" hidden="false" customHeight="false" outlineLevel="0" collapsed="false">
      <c r="B33" s="8" t="s">
        <v>230</v>
      </c>
      <c r="C33" s="2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88"/>
  </cols>
  <sheetData>
    <row r="1" customFormat="false" ht="16.15" hidden="false" customHeight="false" outlineLevel="0" collapsed="false">
      <c r="A1" s="1" t="s">
        <v>232</v>
      </c>
    </row>
    <row r="3" customFormat="false" ht="15" hidden="false" customHeight="false" outlineLevel="0" collapsed="false">
      <c r="A3" s="3" t="s">
        <v>233</v>
      </c>
      <c r="B3" s="3" t="s">
        <v>47</v>
      </c>
      <c r="C3" s="3" t="s">
        <v>234</v>
      </c>
      <c r="D3" s="3" t="s">
        <v>235</v>
      </c>
    </row>
    <row r="4" customFormat="false" ht="15" hidden="false" customHeight="false" outlineLevel="0" collapsed="false">
      <c r="A4" s="4" t="s">
        <v>236</v>
      </c>
      <c r="B4" s="41" t="n">
        <f aca="false">Kanban_Chiffrage!$F$50-0.5</f>
        <v>12.75</v>
      </c>
      <c r="C4" s="35" t="n">
        <f aca="false">B4*Parametres!$B$6</f>
        <v>5100</v>
      </c>
      <c r="D4" s="42" t="s">
        <v>237</v>
      </c>
    </row>
    <row r="5" customFormat="false" ht="15" hidden="false" customHeight="false" outlineLevel="0" collapsed="false">
      <c r="A5" s="4" t="s">
        <v>238</v>
      </c>
      <c r="B5" s="41" t="n">
        <f aca="false">Kanban_Chiffrage!$F$50+1</f>
        <v>14.25</v>
      </c>
      <c r="C5" s="35" t="n">
        <f aca="false">B5*Parametres!$B$6</f>
        <v>5700</v>
      </c>
      <c r="D5" s="42" t="s">
        <v>239</v>
      </c>
    </row>
    <row r="6" customFormat="false" ht="15" hidden="false" customHeight="false" outlineLevel="0" collapsed="false">
      <c r="A6" s="36" t="s">
        <v>240</v>
      </c>
      <c r="B6" s="43" t="n">
        <f aca="false">Kanban_Chiffrage!$F$50</f>
        <v>13.25</v>
      </c>
      <c r="C6" s="44" t="n">
        <f aca="false">Devis!F15</f>
        <v>5300</v>
      </c>
      <c r="D6" s="45" t="s">
        <v>241</v>
      </c>
    </row>
    <row r="7" customFormat="false" ht="15" hidden="false" customHeight="false" outlineLevel="0" collapsed="false">
      <c r="A7" s="4" t="s">
        <v>242</v>
      </c>
      <c r="B7" s="41" t="n">
        <f aca="false">3500/Parametres!$B$6</f>
        <v>8.75</v>
      </c>
      <c r="C7" s="35" t="n">
        <v>3500</v>
      </c>
      <c r="D7" s="42" t="s">
        <v>243</v>
      </c>
    </row>
    <row r="10" customFormat="false" ht="15" hidden="false" customHeight="false" outlineLevel="0" collapsed="false">
      <c r="A10" s="8" t="s">
        <v>244</v>
      </c>
    </row>
    <row r="11" customFormat="false" ht="15" hidden="false" customHeight="false" outlineLevel="0" collapsed="false">
      <c r="A11" s="12" t="s">
        <v>245</v>
      </c>
      <c r="C11" s="39" t="n">
        <f aca="false">Devis!F15+Parametres!$B$9*12</f>
        <v>7568</v>
      </c>
    </row>
    <row r="12" customFormat="false" ht="15" hidden="false" customHeight="false" outlineLevel="0" collapsed="false">
      <c r="A12" s="12" t="s">
        <v>246</v>
      </c>
      <c r="C12" s="39" t="n">
        <f aca="false">-Parametres!$B$14*12</f>
        <v>-900</v>
      </c>
    </row>
    <row r="13" customFormat="false" ht="15" hidden="false" customHeight="false" outlineLevel="0" collapsed="false">
      <c r="A13" s="8" t="s">
        <v>247</v>
      </c>
      <c r="C13" s="39" t="n">
        <f aca="false">C11+C12</f>
        <v>6668</v>
      </c>
    </row>
    <row r="14" customFormat="false" ht="15" hidden="false" customHeight="false" outlineLevel="0" collapsed="false">
      <c r="A14" s="12" t="s">
        <v>248</v>
      </c>
      <c r="C14" s="46" t="n">
        <f aca="false">Kanban_Chiffrage!$F$50</f>
        <v>13.25</v>
      </c>
    </row>
    <row r="15" customFormat="false" ht="15" hidden="false" customHeight="false" outlineLevel="0" collapsed="false">
      <c r="A15" s="8" t="s">
        <v>249</v>
      </c>
      <c r="C15" s="39" t="n">
        <f aca="false">C13/C14</f>
        <v>503.245283018868</v>
      </c>
      <c r="D15" s="2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2026-08-08T15:43:19Z</dcterms:created>
  <dc:creator>openpyxl</dc:creator>
  <dc:description/>
  <dc:language>en-US</dc:language>
  <cp:lastModifiedBy/>
  <dcterms:modified xsi:type="dcterms:W3CDTF">2026-08-08T15:43:19Z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